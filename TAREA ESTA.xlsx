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325"/>
  <workbookPr defaultThemeVersion="166925"/>
  <mc:AlternateContent xmlns:mc="http://schemas.openxmlformats.org/markup-compatibility/2006">
    <mc:Choice Requires="x15">
      <x15ac:absPath xmlns:x15ac="http://schemas.microsoft.com/office/spreadsheetml/2010/11/ac" url="C:\Users\Yo\Documents\"/>
    </mc:Choice>
  </mc:AlternateContent>
  <xr:revisionPtr revIDLastSave="0" documentId="8_{1A4980B1-BF1F-49BC-9E8C-C648F38051BB}" xr6:coauthVersionLast="45" xr6:coauthVersionMax="45" xr10:uidLastSave="{00000000-0000-0000-0000-000000000000}"/>
  <bookViews>
    <workbookView xWindow="-120" yWindow="-120" windowWidth="19440" windowHeight="15000" xr2:uid="{FFBDB1D8-552D-4D47-BDB8-2800DB6E038F}"/>
  </bookViews>
  <sheets>
    <sheet name="Hoja1" sheetId="1" r:id="rId1"/>
  </sheets>
  <definedNames>
    <definedName name="_xlchart.v1.0" hidden="1">Hoja1!$B$1</definedName>
    <definedName name="_xlchart.v1.1" hidden="1">Hoja1!$B$2:$B$33</definedName>
    <definedName name="_xlchart.v1.2" hidden="1">Hoja1!$B$1</definedName>
    <definedName name="_xlchart.v1.3" hidden="1">Hoja1!$B$2:$B$33</definedName>
    <definedName name="_xlchart.v1.4" hidden="1">Hoja1!$B$1</definedName>
    <definedName name="_xlchart.v1.5" hidden="1">Hoja1!$B$2:$B$33</definedName>
    <definedName name="_xlchart.v1.6" hidden="1">Hoja1!$B$1</definedName>
    <definedName name="_xlchart.v1.7" hidden="1">Hoja1!$B$2:$B$33</definedName>
    <definedName name="_xlchart.v1.8" hidden="1">Hoja1!$B$1</definedName>
    <definedName name="_xlchart.v1.9" hidden="1">Hoja1!$B$2:$B$33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 i="1" l="1"/>
  <c r="D7" i="1"/>
  <c r="F7" i="1"/>
  <c r="I2" i="1"/>
  <c r="H2" i="1"/>
  <c r="G2" i="1"/>
  <c r="E2" i="1"/>
  <c r="F2" i="1"/>
  <c r="D2" i="1"/>
</calcChain>
</file>

<file path=xl/sharedStrings.xml><?xml version="1.0" encoding="utf-8"?>
<sst xmlns="http://schemas.openxmlformats.org/spreadsheetml/2006/main" count="172" uniqueCount="43">
  <si>
    <t>Aguas Calientes</t>
  </si>
  <si>
    <t>Baja California</t>
  </si>
  <si>
    <t xml:space="preserve">Baja California Sur </t>
  </si>
  <si>
    <t>Campeche</t>
  </si>
  <si>
    <t>Coahuila de Zaragoza</t>
  </si>
  <si>
    <t>Colima</t>
  </si>
  <si>
    <t>Chiapas</t>
  </si>
  <si>
    <t>Chihuah</t>
  </si>
  <si>
    <t>Ciudad de México (CDMX)</t>
  </si>
  <si>
    <t>Durango</t>
  </si>
  <si>
    <t>Guanajuato</t>
  </si>
  <si>
    <t>Guerrero</t>
  </si>
  <si>
    <t>Hidalgo</t>
  </si>
  <si>
    <t>Jalisco</t>
  </si>
  <si>
    <t>México (Estado de México)</t>
  </si>
  <si>
    <t>Morelos</t>
  </si>
  <si>
    <t>Nayarit</t>
  </si>
  <si>
    <t>Nuevo León</t>
  </si>
  <si>
    <t>Oaxaca</t>
  </si>
  <si>
    <t>Puebla</t>
  </si>
  <si>
    <t>Querétaro</t>
  </si>
  <si>
    <t>Quintana Roo</t>
  </si>
  <si>
    <t>San Luis Potosí</t>
  </si>
  <si>
    <t>Sinaloa</t>
  </si>
  <si>
    <t>Sonora</t>
  </si>
  <si>
    <t>Tabasco</t>
  </si>
  <si>
    <t>Tamaulipas</t>
  </si>
  <si>
    <t>Tlaxcala</t>
  </si>
  <si>
    <t>Yucatán</t>
  </si>
  <si>
    <t>Zacatecas</t>
  </si>
  <si>
    <t xml:space="preserve">Veracruz </t>
  </si>
  <si>
    <t xml:space="preserve">Michoacán </t>
  </si>
  <si>
    <t>Estados</t>
  </si>
  <si>
    <t>Porcentaje de población en situación de pobreza (CONEVAL)</t>
  </si>
  <si>
    <t>Media</t>
  </si>
  <si>
    <t>Moda</t>
  </si>
  <si>
    <t>Mediana</t>
  </si>
  <si>
    <t>Desviación estandar</t>
  </si>
  <si>
    <t>Varianza</t>
  </si>
  <si>
    <t>Q1</t>
  </si>
  <si>
    <t>Q3</t>
  </si>
  <si>
    <t>RIC</t>
  </si>
  <si>
    <t>Rango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</si>
</sst>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16">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theme="7"/>
        <bgColor indexed="64"/>
      </patternFill>
    </fill>
    <fill>
      <patternFill patternType="solid">
        <fgColor theme="6"/>
        <bgColor indexed="64"/>
      </patternFill>
    </fill>
    <fill>
      <patternFill patternType="solid">
        <fgColor theme="5"/>
        <bgColor indexed="64"/>
      </patternFill>
    </fill>
    <fill>
      <patternFill patternType="solid">
        <fgColor rgb="FFFFFF00"/>
        <bgColor indexed="64"/>
      </patternFill>
    </fill>
    <fill>
      <patternFill patternType="solid">
        <fgColor rgb="FFFF8F8F"/>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rgb="FF92D050"/>
        <bgColor indexed="64"/>
      </patternFill>
    </fill>
    <fill>
      <patternFill patternType="solid">
        <fgColor rgb="FFC198E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xf numFmtId="0" fontId="0" fillId="2" borderId="0" xfId="0" applyFill="1" applyAlignment="1"/>
    <xf numFmtId="0" fontId="0" fillId="3" borderId="0" xfId="0" applyFill="1" applyAlignment="1"/>
    <xf numFmtId="0" fontId="0" fillId="4" borderId="0" xfId="0" applyFill="1" applyAlignment="1"/>
    <xf numFmtId="0" fontId="0" fillId="5" borderId="0" xfId="0" applyFill="1" applyAlignment="1"/>
    <xf numFmtId="0" fontId="0" fillId="6" borderId="0" xfId="0" applyFill="1" applyAlignment="1"/>
    <xf numFmtId="0" fontId="0" fillId="7" borderId="0" xfId="0" applyFill="1" applyAlignment="1"/>
    <xf numFmtId="0" fontId="0" fillId="8" borderId="0" xfId="0" applyFill="1" applyAlignment="1"/>
    <xf numFmtId="0" fontId="0" fillId="9" borderId="0" xfId="0" applyFill="1" applyAlignment="1"/>
    <xf numFmtId="0" fontId="0" fillId="10" borderId="0" xfId="0" applyFill="1" applyAlignment="1"/>
    <xf numFmtId="0" fontId="0" fillId="11" borderId="0" xfId="0" applyFill="1" applyAlignment="1"/>
    <xf numFmtId="0" fontId="0" fillId="12" borderId="0" xfId="0" applyFill="1" applyAlignment="1"/>
    <xf numFmtId="0" fontId="0" fillId="13" borderId="0" xfId="0" applyFill="1" applyAlignment="1"/>
    <xf numFmtId="0" fontId="0" fillId="14" borderId="0" xfId="0" applyFill="1" applyAlignment="1"/>
    <xf numFmtId="0" fontId="1" fillId="0" borderId="0" xfId="0" applyFont="1"/>
    <xf numFmtId="0" fontId="0" fillId="15" borderId="0" xfId="0" applyFill="1"/>
    <xf numFmtId="0" fontId="2" fillId="0" borderId="0" xfId="0" applyFont="1"/>
  </cellXfs>
  <cellStyles count="1">
    <cellStyle name="Normal" xfId="0" builtinId="0"/>
  </cellStyles>
  <dxfs count="1">
    <dxf>
      <alignment horizontal="general" vertical="bottom" textRotation="0" wrapText="0" indent="0" justifyLastLine="0" shrinkToFit="0" readingOrder="0"/>
    </dxf>
  </dxfs>
  <tableStyles count="0" defaultTableStyle="TableStyleMedium2" defaultPivotStyle="PivotStyleLight16"/>
  <colors>
    <mruColors>
      <color rgb="FFC198E0"/>
      <color rgb="FFFF8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Porcentaje de población en situación de pobreza (CONEVAL)</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Porcentaje de población en situación de pobreza (CONEVAL)</a:t>
          </a:r>
        </a:p>
      </cx:txPr>
    </cx:title>
    <cx:plotArea>
      <cx:plotAreaRegion>
        <cx:series layoutId="clusteredColumn" uniqueId="{54F5EE4F-F27D-4EC0-84A7-F42AB18D4E24}">
          <cx:tx>
            <cx:txData>
              <cx:f>_xlchart.v1.0</cx:f>
              <cx:v>Porcentaje de población en situación de pobreza (CONEVAL)</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4</xdr:col>
      <xdr:colOff>285750</xdr:colOff>
      <xdr:row>14</xdr:row>
      <xdr:rowOff>114300</xdr:rowOff>
    </xdr:from>
    <xdr:ext cx="184731" cy="264560"/>
    <xdr:sp macro="" textlink="">
      <xdr:nvSpPr>
        <xdr:cNvPr id="2" name="CuadroTexto 1">
          <a:extLst>
            <a:ext uri="{FF2B5EF4-FFF2-40B4-BE49-F238E27FC236}">
              <a16:creationId xmlns:a16="http://schemas.microsoft.com/office/drawing/2014/main" id="{5D1C7323-9E59-4003-988C-5FB1E952AC7F}"/>
            </a:ext>
          </a:extLst>
        </xdr:cNvPr>
        <xdr:cNvSpPr txBox="1"/>
      </xdr:nvSpPr>
      <xdr:spPr>
        <a:xfrm>
          <a:off x="7343775" y="2781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MX" sz="1100"/>
        </a:p>
      </xdr:txBody>
    </xdr:sp>
    <xdr:clientData/>
  </xdr:oneCellAnchor>
  <xdr:twoCellAnchor>
    <xdr:from>
      <xdr:col>2</xdr:col>
      <xdr:colOff>752475</xdr:colOff>
      <xdr:row>7</xdr:row>
      <xdr:rowOff>171450</xdr:rowOff>
    </xdr:from>
    <xdr:to>
      <xdr:col>9</xdr:col>
      <xdr:colOff>0</xdr:colOff>
      <xdr:row>26</xdr:row>
      <xdr:rowOff>190499</xdr:rowOff>
    </xdr:to>
    <xdr:sp macro="" textlink="">
      <xdr:nvSpPr>
        <xdr:cNvPr id="3" name="CuadroTexto 2">
          <a:extLst>
            <a:ext uri="{FF2B5EF4-FFF2-40B4-BE49-F238E27FC236}">
              <a16:creationId xmlns:a16="http://schemas.microsoft.com/office/drawing/2014/main" id="{9BFE3E4D-C0F6-4579-B1D9-27D2740F7981}"/>
            </a:ext>
          </a:extLst>
        </xdr:cNvPr>
        <xdr:cNvSpPr txBox="1"/>
      </xdr:nvSpPr>
      <xdr:spPr>
        <a:xfrm>
          <a:off x="6286500" y="1504950"/>
          <a:ext cx="5124450" cy="3638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MX" sz="1200" b="1">
              <a:latin typeface="Arial" panose="020B0604020202020204" pitchFamily="34" charset="0"/>
              <a:cs typeface="Arial" panose="020B0604020202020204" pitchFamily="34" charset="0"/>
            </a:rPr>
            <a:t>Compare la media y mediana. ¿Qué</a:t>
          </a:r>
          <a:r>
            <a:rPr lang="es-MX" sz="1200" b="1" baseline="0">
              <a:latin typeface="Arial" panose="020B0604020202020204" pitchFamily="34" charset="0"/>
              <a:cs typeface="Arial" panose="020B0604020202020204" pitchFamily="34" charset="0"/>
            </a:rPr>
            <a:t> le dice esto sobre el sesgo de la distribución?</a:t>
          </a:r>
          <a:endParaRPr lang="es-MX" sz="1200" b="1">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s-MX" sz="1200">
              <a:latin typeface="Arial" panose="020B0604020202020204" pitchFamily="34" charset="0"/>
              <a:cs typeface="Arial" panose="020B0604020202020204" pitchFamily="34" charset="0"/>
            </a:rPr>
            <a:t>La distribución de los porcentajes de pobreza por estado no es completamente simétrica, presenta un sesgo positivo (a la derecha), lo que indica que la mayoría de los estados tiene niveles de pobreza moderados, pero unos pocos con valores muy altos aumentan el promedio general. (se puede ver en los colores utilizados en la tabla).</a:t>
          </a:r>
        </a:p>
        <a:p>
          <a:pPr marL="0" marR="0" lvl="0" indent="0" algn="l" defTabSz="914400" eaLnBrk="1" fontAlgn="auto" latinLnBrk="0" hangingPunct="1">
            <a:lnSpc>
              <a:spcPct val="100000"/>
            </a:lnSpc>
            <a:spcBef>
              <a:spcPts val="0"/>
            </a:spcBef>
            <a:spcAft>
              <a:spcPts val="0"/>
            </a:spcAft>
            <a:buClrTx/>
            <a:buSzTx/>
            <a:buFontTx/>
            <a:buNone/>
            <a:tabLst/>
            <a:defRPr/>
          </a:pPr>
          <a:endParaRPr lang="es-MX" sz="120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s-MX" sz="1200" b="1">
              <a:latin typeface="Arial" panose="020B0604020202020204" pitchFamily="34" charset="0"/>
              <a:cs typeface="Arial" panose="020B0604020202020204" pitchFamily="34" charset="0"/>
            </a:rPr>
            <a:t>¿Qué medida (s</a:t>
          </a:r>
          <a:r>
            <a:rPr lang="es-MX" sz="1200" b="1" baseline="0">
              <a:latin typeface="Arial" panose="020B0604020202020204" pitchFamily="34" charset="0"/>
              <a:cs typeface="Arial" panose="020B0604020202020204" pitchFamily="34" charset="0"/>
            </a:rPr>
            <a:t> o RIC)</a:t>
          </a:r>
          <a:r>
            <a:rPr lang="es-MX" sz="1200" b="1">
              <a:latin typeface="Arial" panose="020B0604020202020204" pitchFamily="34" charset="0"/>
              <a:cs typeface="Arial" panose="020B0604020202020204" pitchFamily="34" charset="0"/>
            </a:rPr>
            <a:t> describe mejor la "brecha"</a:t>
          </a:r>
          <a:r>
            <a:rPr lang="es-MX" sz="1200" b="1" baseline="0">
              <a:latin typeface="Arial" panose="020B0604020202020204" pitchFamily="34" charset="0"/>
              <a:cs typeface="Arial" panose="020B0604020202020204" pitchFamily="34" charset="0"/>
            </a:rPr>
            <a:t> entre estados?</a:t>
          </a:r>
        </a:p>
        <a:p>
          <a:r>
            <a:rPr lang="es-MX" sz="1200">
              <a:latin typeface="Arial" panose="020B0604020202020204" pitchFamily="34" charset="0"/>
              <a:cs typeface="Arial" panose="020B0604020202020204" pitchFamily="34" charset="0"/>
            </a:rPr>
            <a:t>La desviación estándar (s) toma en cuenta todos los estados, incluso los que tienen pobreza muy alta o muy baja.</a:t>
          </a:r>
        </a:p>
        <a:p>
          <a:r>
            <a:rPr lang="es-MX" sz="1200">
              <a:latin typeface="Arial" panose="020B0604020202020204" pitchFamily="34" charset="0"/>
              <a:cs typeface="Arial" panose="020B0604020202020204" pitchFamily="34" charset="0"/>
            </a:rPr>
            <a:t>El RIC solo considera la mitad de en medio (los que están más cerca del promedio), y deja fuera los más extremos. (se puede observar en la formula aplicada :</a:t>
          </a:r>
          <a:r>
            <a:rPr lang="es-MX" sz="1200" baseline="0">
              <a:latin typeface="Arial" panose="020B0604020202020204" pitchFamily="34" charset="0"/>
              <a:cs typeface="Arial" panose="020B0604020202020204" pitchFamily="34" charset="0"/>
            </a:rPr>
            <a:t>])</a:t>
          </a:r>
          <a:endParaRPr lang="es-MX" sz="120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s-MX" sz="1200" b="1" baseline="0">
            <a:latin typeface="Arial" panose="020B0604020202020204" pitchFamily="34" charset="0"/>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s-MX" sz="1200" b="1" baseline="0">
              <a:latin typeface="Arial" panose="020B0604020202020204" pitchFamily="34" charset="0"/>
              <a:cs typeface="Arial" panose="020B0604020202020204" pitchFamily="34" charset="0"/>
            </a:rPr>
            <a:t>Usando "s", ¿Qué tan "consistente" es la pobreza en el país?</a:t>
          </a:r>
          <a:endParaRPr lang="es-MX"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MX" sz="1200">
              <a:latin typeface="Arial" panose="020B0604020202020204" pitchFamily="34" charset="0"/>
              <a:cs typeface="Arial" panose="020B0604020202020204" pitchFamily="34" charset="0"/>
            </a:rPr>
            <a:t>La pobreza en el país no es uniforme; existe una gran desigualdad entre los estados. Unos tienen mucha pobreza y otros muy poca, por eso la desviación estándar alta muestra que la pobreza es poco consistente a </a:t>
          </a:r>
          <a:r>
            <a:rPr lang="es-MX"/>
            <a:t>nivel nacional</a:t>
          </a:r>
        </a:p>
      </xdr:txBody>
    </xdr:sp>
    <xdr:clientData/>
  </xdr:twoCellAnchor>
  <xdr:twoCellAnchor>
    <xdr:from>
      <xdr:col>3</xdr:col>
      <xdr:colOff>9525</xdr:colOff>
      <xdr:row>27</xdr:row>
      <xdr:rowOff>157162</xdr:rowOff>
    </xdr:from>
    <xdr:to>
      <xdr:col>9</xdr:col>
      <xdr:colOff>0</xdr:colOff>
      <xdr:row>42</xdr:row>
      <xdr:rowOff>42862</xdr:rowOff>
    </xdr:to>
    <mc:AlternateContent xmlns:mc="http://schemas.openxmlformats.org/markup-compatibility/2006">
      <mc:Choice xmlns:cx1="http://schemas.microsoft.com/office/drawing/2015/9/8/chartex" Requires="cx1">
        <xdr:graphicFrame macro="">
          <xdr:nvGraphicFramePr>
            <xdr:cNvPr id="5" name="Gráfico 4">
              <a:extLst>
                <a:ext uri="{FF2B5EF4-FFF2-40B4-BE49-F238E27FC236}">
                  <a16:creationId xmlns:a16="http://schemas.microsoft.com/office/drawing/2014/main" id="{1242EC75-28E9-4682-A8F8-79FE643AF9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05550" y="5300662"/>
              <a:ext cx="5105400" cy="2743200"/>
            </a:xfrm>
            <a:prstGeom prst="rect">
              <a:avLst/>
            </a:prstGeom>
            <a:solidFill>
              <a:prstClr val="white"/>
            </a:solidFill>
            <a:ln w="1">
              <a:solidFill>
                <a:prstClr val="green"/>
              </a:solidFill>
            </a:ln>
          </xdr:spPr>
          <xdr:txBody>
            <a:bodyPr vertOverflow="clip" horzOverflow="clip"/>
            <a:lstStyle/>
            <a:p>
              <a:r>
                <a:rPr lang="es-MX"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0</xdr:col>
      <xdr:colOff>0</xdr:colOff>
      <xdr:row>33</xdr:row>
      <xdr:rowOff>161925</xdr:rowOff>
    </xdr:from>
    <xdr:to>
      <xdr:col>2</xdr:col>
      <xdr:colOff>9524</xdr:colOff>
      <xdr:row>46</xdr:row>
      <xdr:rowOff>180975</xdr:rowOff>
    </xdr:to>
    <xdr:sp macro="" textlink="">
      <xdr:nvSpPr>
        <xdr:cNvPr id="6" name="CuadroTexto 5">
          <a:extLst>
            <a:ext uri="{FF2B5EF4-FFF2-40B4-BE49-F238E27FC236}">
              <a16:creationId xmlns:a16="http://schemas.microsoft.com/office/drawing/2014/main" id="{64AFCF1B-AD15-4AD5-9513-C4A2036847E0}"/>
            </a:ext>
          </a:extLst>
        </xdr:cNvPr>
        <xdr:cNvSpPr txBox="1"/>
      </xdr:nvSpPr>
      <xdr:spPr>
        <a:xfrm>
          <a:off x="0" y="6448425"/>
          <a:ext cx="5543549" cy="2495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a:latin typeface="Arial" panose="020B0604020202020204" pitchFamily="34" charset="0"/>
              <a:cs typeface="Arial" panose="020B0604020202020204" pitchFamily="34" charset="0"/>
            </a:rPr>
            <a:t>La pobreza en México es un problema heterogéneo, es decir, grande y desigual entre los estados. Analizando los datos, muestran una desviación estándar alta, 14.9341, lo que indica que los niveles de pobreza varían mucho. Mientras algunos estados tienen menos del 20% de pobreza, otros superan el 60%. Esto se puede ver a través de los diferentes colores dentro de la tabla. De esta forma, se demuestra que la pobreza no es un fenómeno uniforme, sino que afecta de manera muy distinta a cada región dentro del país. En el problema planteado en un comunicado de prensa, sería más viable usar la mediana, que nos da un total de 33.7%, ya que representa mejor la situación típica del país sin que los valores extremos distorsionen la interpretación. La mediana ofrece una imagen más justa y equilibrada de la realidad nacional. Esto es lo que hemos estado viendo en clases, que se interpretan los datos de cierta forma para darlos a las personas y buscar satisfacer el pensar de que las cosas están cambiando y se están haciendo de mejor forma.</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525E70-53EF-4147-A92B-FDCC873FBB79}" name="Tabla3" displayName="Tabla3" ref="A1:B32" totalsRowShown="0">
  <autoFilter ref="A1:B32" xr:uid="{E2A887F5-57EB-4622-9E72-713DBD66F16A}"/>
  <tableColumns count="2">
    <tableColumn id="1" xr3:uid="{C870FD83-6ECD-4BA3-9861-113230068DCE}" name="Estados"/>
    <tableColumn id="2" xr3:uid="{3CAF22AB-8E0A-4CF7-B018-38998292719B}" name="Porcentaje de población en situación de pobreza (CONEVAL)" dataDxfId="0"/>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4D476-40C7-4641-95F9-7C5D5A5ED675}">
  <dimension ref="A1:I47"/>
  <sheetViews>
    <sheetView tabSelected="1" workbookViewId="0">
      <selection activeCell="G47" sqref="G47"/>
    </sheetView>
  </sheetViews>
  <sheetFormatPr baseColWidth="10" defaultRowHeight="15" x14ac:dyDescent="0.25"/>
  <cols>
    <col min="1" max="1" width="26.7109375" customWidth="1"/>
    <col min="2" max="2" width="56.28515625" style="1" customWidth="1"/>
    <col min="6" max="6" width="11.85546875" bestFit="1" customWidth="1"/>
    <col min="7" max="7" width="19.140625" customWidth="1"/>
  </cols>
  <sheetData>
    <row r="1" spans="1:9" x14ac:dyDescent="0.25">
      <c r="A1" t="s">
        <v>32</v>
      </c>
      <c r="B1" s="1" t="s">
        <v>33</v>
      </c>
      <c r="D1" s="15" t="s">
        <v>34</v>
      </c>
      <c r="E1" s="15" t="s">
        <v>35</v>
      </c>
      <c r="F1" s="15" t="s">
        <v>36</v>
      </c>
      <c r="G1" s="15" t="s">
        <v>37</v>
      </c>
      <c r="H1" s="15" t="s">
        <v>38</v>
      </c>
      <c r="I1" s="15" t="s">
        <v>42</v>
      </c>
    </row>
    <row r="2" spans="1:9" x14ac:dyDescent="0.25">
      <c r="A2" t="s">
        <v>0</v>
      </c>
      <c r="B2" s="2">
        <v>23.7</v>
      </c>
      <c r="D2" s="16">
        <f>AVERAGE(B2:B33)</f>
        <v>34.537500000000001</v>
      </c>
      <c r="E2">
        <f>_xlfn.MODE.MULT(B2:B33)</f>
        <v>21.7</v>
      </c>
      <c r="F2" s="16">
        <f>MEDIAN(B2:B33)</f>
        <v>33.700000000000003</v>
      </c>
      <c r="G2" s="16">
        <f>_xlfn.STDEV.S(B2:B33)</f>
        <v>14.934194363618095</v>
      </c>
      <c r="H2" s="16">
        <f>_xlfn.VAR.P(B2:B33)</f>
        <v>216.06046874999993</v>
      </c>
      <c r="I2" s="16">
        <f>MAX(B2:B33)-MIN(B2:B33)</f>
        <v>54.100000000000009</v>
      </c>
    </row>
    <row r="3" spans="1:9" x14ac:dyDescent="0.25">
      <c r="A3" t="s">
        <v>1</v>
      </c>
      <c r="B3" s="3">
        <v>13.4</v>
      </c>
    </row>
    <row r="4" spans="1:9" x14ac:dyDescent="0.25">
      <c r="A4" t="s">
        <v>2</v>
      </c>
      <c r="B4" s="2">
        <v>13.3</v>
      </c>
    </row>
    <row r="5" spans="1:9" x14ac:dyDescent="0.25">
      <c r="A5" t="s">
        <v>3</v>
      </c>
      <c r="B5" s="4">
        <v>45.1</v>
      </c>
    </row>
    <row r="6" spans="1:9" x14ac:dyDescent="0.25">
      <c r="A6" t="s">
        <v>4</v>
      </c>
      <c r="B6" s="2">
        <v>18.2</v>
      </c>
      <c r="D6" s="15" t="s">
        <v>39</v>
      </c>
      <c r="E6" s="15" t="s">
        <v>40</v>
      </c>
      <c r="F6" s="15" t="s">
        <v>41</v>
      </c>
    </row>
    <row r="7" spans="1:9" x14ac:dyDescent="0.25">
      <c r="A7" t="s">
        <v>5</v>
      </c>
      <c r="B7" s="2">
        <v>20.5</v>
      </c>
      <c r="D7" s="16">
        <f>_xlfn.QUARTILE.INC(B2:B33,1)</f>
        <v>21.7</v>
      </c>
      <c r="E7" s="16">
        <f>_xlfn.QUARTILE.INC(B2:B33,3)</f>
        <v>44.425000000000004</v>
      </c>
      <c r="F7" s="16">
        <f>E7-D7</f>
        <v>22.725000000000005</v>
      </c>
    </row>
    <row r="8" spans="1:9" x14ac:dyDescent="0.25">
      <c r="A8" t="s">
        <v>6</v>
      </c>
      <c r="B8" s="5">
        <v>67.400000000000006</v>
      </c>
    </row>
    <row r="9" spans="1:9" x14ac:dyDescent="0.25">
      <c r="A9" t="s">
        <v>7</v>
      </c>
      <c r="B9" s="6">
        <v>17.600000000000001</v>
      </c>
    </row>
    <row r="10" spans="1:9" x14ac:dyDescent="0.25">
      <c r="A10" t="s">
        <v>8</v>
      </c>
      <c r="B10" s="7">
        <v>24</v>
      </c>
    </row>
    <row r="11" spans="1:9" x14ac:dyDescent="0.25">
      <c r="A11" t="s">
        <v>9</v>
      </c>
      <c r="B11" s="3">
        <v>34.4</v>
      </c>
    </row>
    <row r="12" spans="1:9" x14ac:dyDescent="0.25">
      <c r="A12" t="s">
        <v>10</v>
      </c>
      <c r="B12" s="3">
        <v>33</v>
      </c>
    </row>
    <row r="13" spans="1:9" x14ac:dyDescent="0.25">
      <c r="A13" t="s">
        <v>11</v>
      </c>
      <c r="B13" s="8">
        <v>60.4</v>
      </c>
    </row>
    <row r="14" spans="1:9" x14ac:dyDescent="0.25">
      <c r="A14" t="s">
        <v>12</v>
      </c>
      <c r="B14" s="9">
        <v>41</v>
      </c>
    </row>
    <row r="15" spans="1:9" x14ac:dyDescent="0.25">
      <c r="A15" t="s">
        <v>13</v>
      </c>
      <c r="B15" s="3">
        <v>21.8</v>
      </c>
    </row>
    <row r="16" spans="1:9" x14ac:dyDescent="0.25">
      <c r="A16" t="s">
        <v>14</v>
      </c>
      <c r="B16" s="10">
        <v>42.9</v>
      </c>
    </row>
    <row r="17" spans="1:2" x14ac:dyDescent="0.25">
      <c r="A17" t="s">
        <v>31</v>
      </c>
      <c r="B17" s="11">
        <v>41.7</v>
      </c>
    </row>
    <row r="18" spans="1:2" x14ac:dyDescent="0.25">
      <c r="A18" t="s">
        <v>15</v>
      </c>
      <c r="B18" s="12">
        <v>41.1</v>
      </c>
    </row>
    <row r="19" spans="1:2" x14ac:dyDescent="0.25">
      <c r="A19" t="s">
        <v>16</v>
      </c>
      <c r="B19" s="9">
        <v>29.3</v>
      </c>
    </row>
    <row r="20" spans="1:2" x14ac:dyDescent="0.25">
      <c r="A20" t="s">
        <v>17</v>
      </c>
      <c r="B20" s="2">
        <v>16</v>
      </c>
    </row>
    <row r="21" spans="1:2" x14ac:dyDescent="0.25">
      <c r="A21" t="s">
        <v>18</v>
      </c>
      <c r="B21" s="8">
        <v>58.4</v>
      </c>
    </row>
    <row r="22" spans="1:2" x14ac:dyDescent="0.25">
      <c r="A22" t="s">
        <v>19</v>
      </c>
      <c r="B22" s="4">
        <v>54</v>
      </c>
    </row>
    <row r="23" spans="1:2" x14ac:dyDescent="0.25">
      <c r="A23" t="s">
        <v>20</v>
      </c>
      <c r="B23" s="6">
        <v>21.7</v>
      </c>
    </row>
    <row r="24" spans="1:2" x14ac:dyDescent="0.25">
      <c r="A24" t="s">
        <v>21</v>
      </c>
      <c r="B24" s="12">
        <v>27</v>
      </c>
    </row>
    <row r="25" spans="1:2" x14ac:dyDescent="0.25">
      <c r="A25" t="s">
        <v>22</v>
      </c>
      <c r="B25" s="9">
        <v>35.5</v>
      </c>
    </row>
    <row r="26" spans="1:2" x14ac:dyDescent="0.25">
      <c r="A26" t="s">
        <v>23</v>
      </c>
      <c r="B26" s="10">
        <v>21.6</v>
      </c>
    </row>
    <row r="27" spans="1:2" x14ac:dyDescent="0.25">
      <c r="A27" t="s">
        <v>24</v>
      </c>
      <c r="B27" s="6">
        <v>21.7</v>
      </c>
    </row>
    <row r="28" spans="1:2" x14ac:dyDescent="0.25">
      <c r="A28" t="s">
        <v>25</v>
      </c>
      <c r="B28" s="13">
        <v>46.5</v>
      </c>
    </row>
    <row r="29" spans="1:2" x14ac:dyDescent="0.25">
      <c r="A29" t="s">
        <v>26</v>
      </c>
      <c r="B29" s="6">
        <v>26.8</v>
      </c>
    </row>
    <row r="30" spans="1:2" x14ac:dyDescent="0.25">
      <c r="A30" t="s">
        <v>27</v>
      </c>
      <c r="B30" s="3">
        <v>52.5</v>
      </c>
    </row>
    <row r="31" spans="1:2" x14ac:dyDescent="0.25">
      <c r="A31" t="s">
        <v>30</v>
      </c>
      <c r="B31" s="14">
        <v>51.7</v>
      </c>
    </row>
    <row r="32" spans="1:2" x14ac:dyDescent="0.25">
      <c r="A32" t="s">
        <v>28</v>
      </c>
      <c r="B32" s="9">
        <v>38.799999999999997</v>
      </c>
    </row>
    <row r="33" spans="1:7" x14ac:dyDescent="0.25">
      <c r="A33" t="s">
        <v>29</v>
      </c>
      <c r="B33" s="7">
        <v>44.2</v>
      </c>
    </row>
    <row r="47" spans="1:7" x14ac:dyDescent="0.25">
      <c r="G47" s="17"/>
    </row>
  </sheetData>
  <conditionalFormatting sqref="B1">
    <cfRule type="iconSet" priority="1">
      <iconSet>
        <cfvo type="percent" val="0"/>
        <cfvo type="percent" val="33"/>
        <cfvo type="percent" val="67"/>
      </iconSet>
    </cfRule>
  </conditionalFormatting>
  <pageMargins left="0.7" right="0.7" top="0.75" bottom="0.75" header="0.3" footer="0.3"/>
  <pageSetup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dc:creator>
  <cp:lastModifiedBy>Yo</cp:lastModifiedBy>
  <dcterms:created xsi:type="dcterms:W3CDTF">2025-11-06T02:11:20Z</dcterms:created>
  <dcterms:modified xsi:type="dcterms:W3CDTF">2025-11-06T03:44:37Z</dcterms:modified>
</cp:coreProperties>
</file>